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I\"/>
    </mc:Choice>
  </mc:AlternateContent>
  <xr:revisionPtr revIDLastSave="0" documentId="13_ncr:1_{9A9B6CC1-D4D7-41F7-968A-6C65D3EA538D}" xr6:coauthVersionLast="47" xr6:coauthVersionMax="47" xr10:uidLastSave="{00000000-0000-0000-0000-000000000000}"/>
  <bookViews>
    <workbookView xWindow="0" yWindow="300" windowWidth="29040" windowHeight="15840" xr2:uid="{00000000-000D-0000-FFFF-FFFF00000000}"/>
  </bookViews>
  <sheets>
    <sheet name="Thong ke cua" sheetId="1" r:id="rId1"/>
  </sheets>
  <definedNames>
    <definedName name="_xlnm.Print_Titles" localSheetId="0">'Thong ke cua'!$1:$4</definedName>
  </definedNames>
  <calcPr calcId="181029"/>
</workbook>
</file>

<file path=xl/calcChain.xml><?xml version="1.0" encoding="utf-8"?>
<calcChain xmlns="http://schemas.openxmlformats.org/spreadsheetml/2006/main">
  <c r="P15" i="1" l="1"/>
  <c r="P16" i="1"/>
  <c r="P17" i="1"/>
  <c r="P18" i="1"/>
  <c r="P19" i="1"/>
  <c r="P40" i="1"/>
  <c r="P38" i="1"/>
  <c r="P37" i="1"/>
  <c r="P36" i="1"/>
  <c r="P35" i="1"/>
  <c r="P33" i="1"/>
  <c r="P32" i="1"/>
  <c r="P31" i="1"/>
  <c r="P30" i="1"/>
  <c r="P29" i="1"/>
  <c r="P28" i="1"/>
  <c r="P27" i="1"/>
  <c r="P26" i="1"/>
  <c r="P25" i="1"/>
  <c r="P23" i="1"/>
  <c r="P22" i="1"/>
  <c r="P21" i="1"/>
  <c r="P13" i="1"/>
  <c r="P12" i="1"/>
  <c r="P11" i="1"/>
  <c r="P10" i="1"/>
  <c r="P9" i="1"/>
  <c r="P8" i="1"/>
  <c r="P7" i="1"/>
  <c r="P6" i="1"/>
</calcChain>
</file>

<file path=xl/sharedStrings.xml><?xml version="1.0" encoding="utf-8"?>
<sst xmlns="http://schemas.openxmlformats.org/spreadsheetml/2006/main" count="58" uniqueCount="56">
  <si>
    <t>STT</t>
  </si>
  <si>
    <t>TÊN CỬA</t>
  </si>
  <si>
    <t>KÍCH THƯỚC</t>
  </si>
  <si>
    <t>TẦNG (SỐ LƯỢNG 1 TẦNG)</t>
  </si>
  <si>
    <t>TỔNG</t>
  </si>
  <si>
    <t>ĐẶC TÍNH</t>
  </si>
  <si>
    <t>GHI CHÚ</t>
  </si>
  <si>
    <t>RỘNG</t>
  </si>
  <si>
    <t>CAO</t>
  </si>
  <si>
    <t>HẦM 3</t>
  </si>
  <si>
    <t>HẦM 2</t>
  </si>
  <si>
    <t>HẦM 1</t>
  </si>
  <si>
    <t>TẦNG 1</t>
  </si>
  <si>
    <t>TẦNG 2</t>
  </si>
  <si>
    <t>TẦNG 3</t>
  </si>
  <si>
    <t>TẦNG 4</t>
  </si>
  <si>
    <t>TẦNG 5-19 VÀ 20-35</t>
  </si>
  <si>
    <t>TẦNG 20</t>
  </si>
  <si>
    <t>TẦNG 36-40</t>
  </si>
  <si>
    <t>TẦNG TUM</t>
  </si>
  <si>
    <t>DA01</t>
  </si>
  <si>
    <t>DA02</t>
  </si>
  <si>
    <t>DA03</t>
  </si>
  <si>
    <t>DA04</t>
  </si>
  <si>
    <t>DA05</t>
  </si>
  <si>
    <t>DA06</t>
  </si>
  <si>
    <t>DA07</t>
  </si>
  <si>
    <t>DF01</t>
  </si>
  <si>
    <t>DF03</t>
  </si>
  <si>
    <t>DF06</t>
  </si>
  <si>
    <t>DS01</t>
  </si>
  <si>
    <t>DW01</t>
  </si>
  <si>
    <t>DW03</t>
  </si>
  <si>
    <t>DW04</t>
  </si>
  <si>
    <t>SA01</t>
  </si>
  <si>
    <t>SA01A</t>
  </si>
  <si>
    <t>SA02</t>
  </si>
  <si>
    <t>SA02A</t>
  </si>
  <si>
    <t>SA03</t>
  </si>
  <si>
    <t>SA04</t>
  </si>
  <si>
    <t>SA05</t>
  </si>
  <si>
    <t>SA06</t>
  </si>
  <si>
    <t>SA07</t>
  </si>
  <si>
    <t>SAD1</t>
  </si>
  <si>
    <t>SAD2</t>
  </si>
  <si>
    <t>SAL1</t>
  </si>
  <si>
    <t>SAL2</t>
  </si>
  <si>
    <t>VNK01</t>
  </si>
  <si>
    <t xml:space="preserve">BẢNG THỐNG KÊ CỬA </t>
  </si>
  <si>
    <t>CỬA NHÔM KÍNH</t>
  </si>
  <si>
    <t>CỬA CHỐNG CHÁY</t>
  </si>
  <si>
    <t>CỬA GỖ</t>
  </si>
  <si>
    <t>CỬA SỔ</t>
  </si>
  <si>
    <t>CỬA CẤP BÙ</t>
  </si>
  <si>
    <t>CỪA VÁCH KÍNH</t>
  </si>
  <si>
    <t>SỐ TẦNG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</si>
</sst>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Arial"/>
    </font>
    <font>
      <b/>
      <sz val="11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B4C6E7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0"/>
  <sheetViews>
    <sheetView tabSelected="1" workbookViewId="0">
      <pane xSplit="4" ySplit="4" topLeftCell="E15" activePane="bottomRight" state="frozen"/>
      <selection pane="topRight"/>
      <selection pane="bottomLeft"/>
      <selection pane="bottomRight" sqref="A1:R40"/>
    </sheetView>
  </sheetViews>
  <sheetFormatPr defaultRowHeight="15" x14ac:dyDescent="0.25"/>
  <cols>
    <col min="1" max="1" width="6" customWidth="1"/>
    <col min="2" max="2" width="11" customWidth="1"/>
    <col min="3" max="15" width="9" customWidth="1"/>
    <col min="16" max="16" width="10" customWidth="1"/>
    <col min="17" max="18" width="45" customWidth="1"/>
  </cols>
  <sheetData>
    <row r="1" spans="1:18" ht="15.75" x14ac:dyDescent="0.25">
      <c r="A1" s="11" t="s">
        <v>48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x14ac:dyDescent="0.25">
      <c r="A2" s="10" t="s">
        <v>0</v>
      </c>
      <c r="B2" s="10" t="s">
        <v>1</v>
      </c>
      <c r="C2" s="10" t="s">
        <v>2</v>
      </c>
      <c r="D2" s="10"/>
      <c r="E2" s="10" t="s">
        <v>3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 t="s">
        <v>4</v>
      </c>
      <c r="Q2" s="10" t="s">
        <v>5</v>
      </c>
      <c r="R2" s="10" t="s">
        <v>6</v>
      </c>
    </row>
    <row r="3" spans="1:18" ht="45" customHeight="1" x14ac:dyDescent="0.25">
      <c r="A3" s="10"/>
      <c r="B3" s="10"/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17</v>
      </c>
      <c r="N3" s="1" t="s">
        <v>18</v>
      </c>
      <c r="O3" s="1" t="s">
        <v>19</v>
      </c>
      <c r="P3" s="10"/>
      <c r="Q3" s="10"/>
      <c r="R3" s="10"/>
    </row>
    <row r="4" spans="1:18" x14ac:dyDescent="0.25">
      <c r="A4" s="8" t="s">
        <v>55</v>
      </c>
      <c r="B4" s="9"/>
      <c r="C4" s="9"/>
      <c r="D4" s="9"/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30</v>
      </c>
      <c r="M4" s="2">
        <v>1</v>
      </c>
      <c r="N4" s="2">
        <v>5</v>
      </c>
      <c r="O4" s="2">
        <v>1</v>
      </c>
      <c r="P4" s="2"/>
      <c r="Q4" s="2"/>
      <c r="R4" s="3"/>
    </row>
    <row r="5" spans="1:18" x14ac:dyDescent="0.25">
      <c r="A5" s="6" t="s">
        <v>49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8" x14ac:dyDescent="0.25">
      <c r="A6" s="4">
        <v>1</v>
      </c>
      <c r="B6" s="4" t="s">
        <v>20</v>
      </c>
      <c r="C6" s="4">
        <v>800</v>
      </c>
      <c r="D6" s="4">
        <v>2200</v>
      </c>
      <c r="E6" s="4"/>
      <c r="F6" s="4"/>
      <c r="G6" s="4"/>
      <c r="H6" s="4"/>
      <c r="I6" s="4"/>
      <c r="J6" s="4"/>
      <c r="K6" s="4"/>
      <c r="L6" s="4">
        <v>14</v>
      </c>
      <c r="M6" s="4">
        <v>11</v>
      </c>
      <c r="N6" s="4">
        <v>21</v>
      </c>
      <c r="O6" s="4"/>
      <c r="P6" s="4">
        <f t="shared" ref="P6:P13" si="0">SUMPRODUCT(E6:O6,$E$4:$O$4)</f>
        <v>536</v>
      </c>
      <c r="Q6" s="5"/>
      <c r="R6" s="5"/>
    </row>
    <row r="7" spans="1:18" x14ac:dyDescent="0.25">
      <c r="A7" s="4">
        <v>2</v>
      </c>
      <c r="B7" s="4" t="s">
        <v>21</v>
      </c>
      <c r="C7" s="4">
        <v>1600</v>
      </c>
      <c r="D7" s="4">
        <v>2400</v>
      </c>
      <c r="E7" s="4"/>
      <c r="F7" s="4"/>
      <c r="G7" s="4"/>
      <c r="H7" s="4"/>
      <c r="I7" s="4"/>
      <c r="J7" s="4"/>
      <c r="K7" s="4"/>
      <c r="L7" s="4">
        <v>8</v>
      </c>
      <c r="M7" s="4">
        <v>3</v>
      </c>
      <c r="N7" s="4">
        <v>8</v>
      </c>
      <c r="O7" s="4"/>
      <c r="P7" s="4">
        <f t="shared" si="0"/>
        <v>283</v>
      </c>
      <c r="Q7" s="5"/>
      <c r="R7" s="5"/>
    </row>
    <row r="8" spans="1:18" x14ac:dyDescent="0.25">
      <c r="A8" s="4">
        <v>3</v>
      </c>
      <c r="B8" s="4" t="s">
        <v>22</v>
      </c>
      <c r="C8" s="4">
        <v>1800</v>
      </c>
      <c r="D8" s="4">
        <v>2400</v>
      </c>
      <c r="E8" s="4"/>
      <c r="F8" s="4"/>
      <c r="G8" s="4"/>
      <c r="H8" s="4"/>
      <c r="I8" s="4"/>
      <c r="J8" s="4"/>
      <c r="K8" s="4"/>
      <c r="L8" s="4">
        <v>8</v>
      </c>
      <c r="M8" s="4">
        <v>2</v>
      </c>
      <c r="N8" s="4">
        <v>8</v>
      </c>
      <c r="O8" s="4"/>
      <c r="P8" s="4">
        <f t="shared" si="0"/>
        <v>282</v>
      </c>
      <c r="Q8" s="5"/>
      <c r="R8" s="5"/>
    </row>
    <row r="9" spans="1:18" x14ac:dyDescent="0.25">
      <c r="A9" s="4">
        <v>4</v>
      </c>
      <c r="B9" s="4" t="s">
        <v>22</v>
      </c>
      <c r="C9" s="4">
        <v>2000</v>
      </c>
      <c r="D9" s="4">
        <v>2400</v>
      </c>
      <c r="E9" s="4"/>
      <c r="F9" s="4"/>
      <c r="G9" s="4"/>
      <c r="H9" s="4"/>
      <c r="I9" s="4"/>
      <c r="J9" s="4"/>
      <c r="K9" s="4"/>
      <c r="L9" s="4"/>
      <c r="M9" s="4">
        <v>1</v>
      </c>
      <c r="N9" s="4"/>
      <c r="O9" s="4"/>
      <c r="P9" s="4">
        <f t="shared" si="0"/>
        <v>1</v>
      </c>
      <c r="Q9" s="5"/>
      <c r="R9" s="5"/>
    </row>
    <row r="10" spans="1:18" x14ac:dyDescent="0.25">
      <c r="A10" s="4">
        <v>5</v>
      </c>
      <c r="B10" s="4" t="s">
        <v>23</v>
      </c>
      <c r="C10" s="4">
        <v>2000</v>
      </c>
      <c r="D10" s="4">
        <v>2400</v>
      </c>
      <c r="E10" s="4"/>
      <c r="F10" s="4"/>
      <c r="G10" s="4"/>
      <c r="H10" s="4"/>
      <c r="I10" s="4"/>
      <c r="J10" s="4"/>
      <c r="K10" s="4"/>
      <c r="L10" s="4">
        <v>10</v>
      </c>
      <c r="M10" s="4">
        <v>9</v>
      </c>
      <c r="N10" s="4">
        <v>8</v>
      </c>
      <c r="O10" s="4"/>
      <c r="P10" s="4">
        <f t="shared" si="0"/>
        <v>349</v>
      </c>
      <c r="Q10" s="5"/>
      <c r="R10" s="5"/>
    </row>
    <row r="11" spans="1:18" x14ac:dyDescent="0.25">
      <c r="A11" s="4">
        <v>6</v>
      </c>
      <c r="B11" s="4" t="s">
        <v>24</v>
      </c>
      <c r="C11" s="4">
        <v>2200</v>
      </c>
      <c r="D11" s="4">
        <v>2400</v>
      </c>
      <c r="E11" s="4"/>
      <c r="F11" s="4"/>
      <c r="G11" s="4"/>
      <c r="H11" s="4"/>
      <c r="I11" s="4"/>
      <c r="J11" s="4"/>
      <c r="K11" s="4"/>
      <c r="L11" s="4">
        <v>23</v>
      </c>
      <c r="M11" s="4">
        <v>12</v>
      </c>
      <c r="N11" s="4">
        <v>2</v>
      </c>
      <c r="O11" s="4"/>
      <c r="P11" s="4">
        <f t="shared" si="0"/>
        <v>712</v>
      </c>
      <c r="Q11" s="5"/>
      <c r="R11" s="5"/>
    </row>
    <row r="12" spans="1:18" x14ac:dyDescent="0.25">
      <c r="A12" s="4">
        <v>7</v>
      </c>
      <c r="B12" s="4" t="s">
        <v>25</v>
      </c>
      <c r="C12" s="4">
        <v>2400</v>
      </c>
      <c r="D12" s="4">
        <v>2400</v>
      </c>
      <c r="E12" s="4"/>
      <c r="F12" s="4"/>
      <c r="G12" s="4"/>
      <c r="H12" s="4"/>
      <c r="I12" s="4"/>
      <c r="J12" s="4"/>
      <c r="K12" s="4"/>
      <c r="L12" s="4">
        <v>1</v>
      </c>
      <c r="M12" s="4"/>
      <c r="N12" s="4"/>
      <c r="O12" s="4"/>
      <c r="P12" s="4">
        <f t="shared" si="0"/>
        <v>30</v>
      </c>
      <c r="Q12" s="5"/>
      <c r="R12" s="5"/>
    </row>
    <row r="13" spans="1:18" x14ac:dyDescent="0.25">
      <c r="A13" s="4">
        <v>8</v>
      </c>
      <c r="B13" s="4" t="s">
        <v>26</v>
      </c>
      <c r="C13" s="4">
        <v>4000</v>
      </c>
      <c r="D13" s="4">
        <v>2400</v>
      </c>
      <c r="E13" s="4"/>
      <c r="F13" s="4"/>
      <c r="G13" s="4"/>
      <c r="H13" s="4"/>
      <c r="I13" s="4"/>
      <c r="J13" s="4"/>
      <c r="K13" s="4"/>
      <c r="L13" s="4">
        <v>1</v>
      </c>
      <c r="M13" s="4"/>
      <c r="N13" s="4"/>
      <c r="O13" s="4"/>
      <c r="P13" s="4">
        <f t="shared" si="0"/>
        <v>30</v>
      </c>
      <c r="Q13" s="5"/>
      <c r="R13" s="5"/>
    </row>
    <row r="14" spans="1:18" x14ac:dyDescent="0.25">
      <c r="A14" s="6" t="s">
        <v>50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18" x14ac:dyDescent="0.25">
      <c r="A15" s="4">
        <v>10</v>
      </c>
      <c r="B15" s="4" t="s">
        <v>27</v>
      </c>
      <c r="C15" s="4">
        <v>1400</v>
      </c>
      <c r="D15" s="4">
        <v>2195</v>
      </c>
      <c r="E15" s="4"/>
      <c r="F15" s="4"/>
      <c r="G15" s="4"/>
      <c r="H15" s="4"/>
      <c r="I15" s="4"/>
      <c r="J15" s="4"/>
      <c r="K15" s="4"/>
      <c r="L15" s="4">
        <v>2</v>
      </c>
      <c r="M15" s="4">
        <v>2</v>
      </c>
      <c r="N15" s="4">
        <v>2</v>
      </c>
      <c r="O15" s="4"/>
      <c r="P15" s="4">
        <f>SUMPRODUCT(E15:O15,$E$4:$O$4)</f>
        <v>72</v>
      </c>
      <c r="Q15" s="5"/>
      <c r="R15" s="5"/>
    </row>
    <row r="16" spans="1:18" x14ac:dyDescent="0.25">
      <c r="A16" s="4">
        <v>11</v>
      </c>
      <c r="B16" s="4" t="s">
        <v>28</v>
      </c>
      <c r="C16" s="4">
        <v>1400</v>
      </c>
      <c r="D16" s="4">
        <v>2195</v>
      </c>
      <c r="E16" s="4"/>
      <c r="F16" s="4"/>
      <c r="G16" s="4"/>
      <c r="H16" s="4"/>
      <c r="I16" s="4"/>
      <c r="J16" s="4"/>
      <c r="K16" s="4"/>
      <c r="L16" s="4">
        <v>6</v>
      </c>
      <c r="M16" s="4">
        <v>7</v>
      </c>
      <c r="N16" s="4">
        <v>6</v>
      </c>
      <c r="O16" s="4"/>
      <c r="P16" s="4">
        <f>SUMPRODUCT(E16:O16,$E$4:$O$4)</f>
        <v>217</v>
      </c>
      <c r="Q16" s="5"/>
      <c r="R16" s="5"/>
    </row>
    <row r="17" spans="1:18" x14ac:dyDescent="0.25">
      <c r="A17" s="4">
        <v>12</v>
      </c>
      <c r="B17" s="4" t="s">
        <v>29</v>
      </c>
      <c r="C17" s="4">
        <v>2070</v>
      </c>
      <c r="D17" s="4">
        <v>2345</v>
      </c>
      <c r="E17" s="4"/>
      <c r="F17" s="4"/>
      <c r="G17" s="4"/>
      <c r="H17" s="4"/>
      <c r="I17" s="4"/>
      <c r="J17" s="4"/>
      <c r="K17" s="4"/>
      <c r="L17" s="4"/>
      <c r="M17" s="4"/>
      <c r="N17" s="4">
        <v>1</v>
      </c>
      <c r="O17" s="4"/>
      <c r="P17" s="4">
        <f>SUMPRODUCT(E17:O17,$E$4:$O$4)</f>
        <v>5</v>
      </c>
      <c r="Q17" s="5"/>
      <c r="R17" s="5"/>
    </row>
    <row r="18" spans="1:18" x14ac:dyDescent="0.25">
      <c r="A18" s="4">
        <v>13</v>
      </c>
      <c r="B18" s="4" t="s">
        <v>29</v>
      </c>
      <c r="C18" s="4">
        <v>2070</v>
      </c>
      <c r="D18" s="4">
        <v>2395</v>
      </c>
      <c r="E18" s="4"/>
      <c r="F18" s="4"/>
      <c r="G18" s="4"/>
      <c r="H18" s="4"/>
      <c r="I18" s="4"/>
      <c r="J18" s="4"/>
      <c r="K18" s="4"/>
      <c r="L18" s="4">
        <v>1</v>
      </c>
      <c r="M18" s="4">
        <v>1</v>
      </c>
      <c r="N18" s="4"/>
      <c r="O18" s="4"/>
      <c r="P18" s="4">
        <f>SUMPRODUCT(E18:O18,$E$4:$O$4)</f>
        <v>31</v>
      </c>
      <c r="Q18" s="5"/>
      <c r="R18" s="5"/>
    </row>
    <row r="19" spans="1:18" x14ac:dyDescent="0.25">
      <c r="A19" s="4">
        <v>14</v>
      </c>
      <c r="B19" s="4" t="s">
        <v>30</v>
      </c>
      <c r="C19" s="4">
        <v>900</v>
      </c>
      <c r="D19" s="4">
        <v>2195</v>
      </c>
      <c r="E19" s="4"/>
      <c r="F19" s="4"/>
      <c r="G19" s="4"/>
      <c r="H19" s="4"/>
      <c r="I19" s="4"/>
      <c r="J19" s="4"/>
      <c r="K19" s="4"/>
      <c r="L19" s="4">
        <v>6</v>
      </c>
      <c r="M19" s="4">
        <v>6</v>
      </c>
      <c r="N19" s="4">
        <v>6</v>
      </c>
      <c r="O19" s="4"/>
      <c r="P19" s="4">
        <f>SUMPRODUCT(E19:O19,$E$4:$O$4)</f>
        <v>216</v>
      </c>
      <c r="Q19" s="5"/>
      <c r="R19" s="5"/>
    </row>
    <row r="20" spans="1:18" x14ac:dyDescent="0.25">
      <c r="A20" s="6" t="s">
        <v>51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spans="1:18" x14ac:dyDescent="0.25">
      <c r="A21" s="4">
        <v>15</v>
      </c>
      <c r="B21" s="4" t="s">
        <v>31</v>
      </c>
      <c r="C21" s="4">
        <v>1100</v>
      </c>
      <c r="D21" s="4">
        <v>2200</v>
      </c>
      <c r="E21" s="4"/>
      <c r="F21" s="4"/>
      <c r="G21" s="4"/>
      <c r="H21" s="4"/>
      <c r="I21" s="4"/>
      <c r="J21" s="4"/>
      <c r="K21" s="4"/>
      <c r="L21" s="4">
        <v>28</v>
      </c>
      <c r="M21" s="4">
        <v>16</v>
      </c>
      <c r="N21" s="4">
        <v>28</v>
      </c>
      <c r="O21" s="4"/>
      <c r="P21" s="4">
        <f>SUMPRODUCT(E21:O21,$E$4:$O$4)</f>
        <v>996</v>
      </c>
      <c r="Q21" s="5"/>
      <c r="R21" s="5"/>
    </row>
    <row r="22" spans="1:18" x14ac:dyDescent="0.25">
      <c r="A22" s="4">
        <v>16</v>
      </c>
      <c r="B22" s="4" t="s">
        <v>32</v>
      </c>
      <c r="C22" s="4">
        <v>900</v>
      </c>
      <c r="D22" s="4">
        <v>2200</v>
      </c>
      <c r="E22" s="4"/>
      <c r="F22" s="4"/>
      <c r="G22" s="4"/>
      <c r="H22" s="4"/>
      <c r="I22" s="4"/>
      <c r="J22" s="4"/>
      <c r="K22" s="4"/>
      <c r="L22" s="4">
        <v>62</v>
      </c>
      <c r="M22" s="4">
        <v>35</v>
      </c>
      <c r="N22" s="4">
        <v>62</v>
      </c>
      <c r="O22" s="4"/>
      <c r="P22" s="4">
        <f>SUMPRODUCT(E22:O22,$E$4:$O$4)</f>
        <v>2205</v>
      </c>
      <c r="Q22" s="5"/>
      <c r="R22" s="5"/>
    </row>
    <row r="23" spans="1:18" x14ac:dyDescent="0.25">
      <c r="A23" s="4">
        <v>17</v>
      </c>
      <c r="B23" s="4" t="s">
        <v>33</v>
      </c>
      <c r="C23" s="4">
        <v>800</v>
      </c>
      <c r="D23" s="4">
        <v>2200</v>
      </c>
      <c r="E23" s="4"/>
      <c r="F23" s="4"/>
      <c r="G23" s="4"/>
      <c r="H23" s="4"/>
      <c r="I23" s="4"/>
      <c r="J23" s="4"/>
      <c r="K23" s="4"/>
      <c r="L23" s="4">
        <v>56</v>
      </c>
      <c r="M23" s="4">
        <v>32</v>
      </c>
      <c r="N23" s="4">
        <v>56</v>
      </c>
      <c r="O23" s="4"/>
      <c r="P23" s="4">
        <f>SUMPRODUCT(E23:O23,$E$4:$O$4)</f>
        <v>1992</v>
      </c>
      <c r="Q23" s="5"/>
      <c r="R23" s="5"/>
    </row>
    <row r="24" spans="1:18" x14ac:dyDescent="0.25">
      <c r="A24" s="6" t="s">
        <v>52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18" x14ac:dyDescent="0.25">
      <c r="A25" s="4">
        <v>18</v>
      </c>
      <c r="B25" s="4" t="s">
        <v>34</v>
      </c>
      <c r="C25" s="4">
        <v>600</v>
      </c>
      <c r="D25" s="4">
        <v>600</v>
      </c>
      <c r="E25" s="4"/>
      <c r="F25" s="4"/>
      <c r="G25" s="4"/>
      <c r="H25" s="4"/>
      <c r="I25" s="4"/>
      <c r="J25" s="4"/>
      <c r="K25" s="4"/>
      <c r="L25" s="4">
        <v>10</v>
      </c>
      <c r="M25" s="4">
        <v>10</v>
      </c>
      <c r="N25" s="4">
        <v>10</v>
      </c>
      <c r="O25" s="4"/>
      <c r="P25" s="4">
        <f t="shared" ref="P25:P33" si="1">SUMPRODUCT(E25:O25,$E$4:$O$4)</f>
        <v>360</v>
      </c>
      <c r="Q25" s="5"/>
      <c r="R25" s="5"/>
    </row>
    <row r="26" spans="1:18" x14ac:dyDescent="0.25">
      <c r="A26" s="4">
        <v>19</v>
      </c>
      <c r="B26" s="4" t="s">
        <v>35</v>
      </c>
      <c r="C26" s="4">
        <v>600</v>
      </c>
      <c r="D26" s="4">
        <v>600</v>
      </c>
      <c r="E26" s="4"/>
      <c r="F26" s="4"/>
      <c r="G26" s="4"/>
      <c r="H26" s="4"/>
      <c r="I26" s="4"/>
      <c r="J26" s="4"/>
      <c r="K26" s="4"/>
      <c r="L26" s="4">
        <v>1</v>
      </c>
      <c r="M26" s="4">
        <v>1</v>
      </c>
      <c r="N26" s="4">
        <v>1</v>
      </c>
      <c r="O26" s="4"/>
      <c r="P26" s="4">
        <f t="shared" si="1"/>
        <v>36</v>
      </c>
      <c r="Q26" s="5"/>
      <c r="R26" s="5"/>
    </row>
    <row r="27" spans="1:18" x14ac:dyDescent="0.25">
      <c r="A27" s="4">
        <v>20</v>
      </c>
      <c r="B27" s="4" t="s">
        <v>36</v>
      </c>
      <c r="C27" s="4">
        <v>900</v>
      </c>
      <c r="D27" s="4">
        <v>600</v>
      </c>
      <c r="E27" s="4"/>
      <c r="F27" s="4"/>
      <c r="G27" s="4"/>
      <c r="H27" s="4"/>
      <c r="I27" s="4"/>
      <c r="J27" s="4"/>
      <c r="K27" s="4"/>
      <c r="L27" s="4">
        <v>8</v>
      </c>
      <c r="M27" s="4">
        <v>5</v>
      </c>
      <c r="N27" s="4">
        <v>8</v>
      </c>
      <c r="O27" s="4"/>
      <c r="P27" s="4">
        <f t="shared" si="1"/>
        <v>285</v>
      </c>
      <c r="Q27" s="5"/>
      <c r="R27" s="5"/>
    </row>
    <row r="28" spans="1:18" x14ac:dyDescent="0.25">
      <c r="A28" s="4">
        <v>21</v>
      </c>
      <c r="B28" s="4" t="s">
        <v>37</v>
      </c>
      <c r="C28" s="4">
        <v>900</v>
      </c>
      <c r="D28" s="4">
        <v>600</v>
      </c>
      <c r="E28" s="4"/>
      <c r="F28" s="4"/>
      <c r="G28" s="4"/>
      <c r="H28" s="4"/>
      <c r="I28" s="4"/>
      <c r="J28" s="4"/>
      <c r="K28" s="4"/>
      <c r="L28" s="4">
        <v>1</v>
      </c>
      <c r="M28" s="4"/>
      <c r="N28" s="4">
        <v>1</v>
      </c>
      <c r="O28" s="4"/>
      <c r="P28" s="4">
        <f t="shared" si="1"/>
        <v>35</v>
      </c>
      <c r="Q28" s="5"/>
      <c r="R28" s="5"/>
    </row>
    <row r="29" spans="1:18" x14ac:dyDescent="0.25">
      <c r="A29" s="4">
        <v>22</v>
      </c>
      <c r="B29" s="4" t="s">
        <v>38</v>
      </c>
      <c r="C29" s="4">
        <v>1200</v>
      </c>
      <c r="D29" s="4">
        <v>600</v>
      </c>
      <c r="E29" s="4"/>
      <c r="F29" s="4"/>
      <c r="G29" s="4"/>
      <c r="H29" s="4"/>
      <c r="I29" s="4"/>
      <c r="J29" s="4"/>
      <c r="K29" s="4"/>
      <c r="L29" s="4">
        <v>1</v>
      </c>
      <c r="M29" s="4"/>
      <c r="N29" s="4">
        <v>1</v>
      </c>
      <c r="O29" s="4"/>
      <c r="P29" s="4">
        <f t="shared" si="1"/>
        <v>35</v>
      </c>
      <c r="Q29" s="5"/>
      <c r="R29" s="5"/>
    </row>
    <row r="30" spans="1:18" x14ac:dyDescent="0.25">
      <c r="A30" s="4">
        <v>23</v>
      </c>
      <c r="B30" s="4" t="s">
        <v>39</v>
      </c>
      <c r="C30" s="4">
        <v>1100</v>
      </c>
      <c r="D30" s="4">
        <v>1500</v>
      </c>
      <c r="E30" s="4"/>
      <c r="F30" s="4"/>
      <c r="G30" s="4"/>
      <c r="H30" s="4"/>
      <c r="I30" s="4"/>
      <c r="J30" s="4"/>
      <c r="K30" s="4"/>
      <c r="L30" s="4">
        <v>1</v>
      </c>
      <c r="M30" s="4">
        <v>1</v>
      </c>
      <c r="N30" s="4">
        <v>1</v>
      </c>
      <c r="O30" s="4"/>
      <c r="P30" s="4">
        <f t="shared" si="1"/>
        <v>36</v>
      </c>
      <c r="Q30" s="5"/>
      <c r="R30" s="5"/>
    </row>
    <row r="31" spans="1:18" x14ac:dyDescent="0.25">
      <c r="A31" s="4">
        <v>24</v>
      </c>
      <c r="B31" s="4" t="s">
        <v>40</v>
      </c>
      <c r="C31" s="4">
        <v>1400</v>
      </c>
      <c r="D31" s="4">
        <v>1500</v>
      </c>
      <c r="E31" s="4"/>
      <c r="F31" s="4"/>
      <c r="G31" s="4"/>
      <c r="H31" s="4"/>
      <c r="I31" s="4"/>
      <c r="J31" s="4"/>
      <c r="K31" s="4"/>
      <c r="L31" s="4">
        <v>1</v>
      </c>
      <c r="M31" s="4"/>
      <c r="N31" s="4">
        <v>1</v>
      </c>
      <c r="O31" s="4"/>
      <c r="P31" s="4">
        <f t="shared" si="1"/>
        <v>35</v>
      </c>
      <c r="Q31" s="5"/>
      <c r="R31" s="5"/>
    </row>
    <row r="32" spans="1:18" x14ac:dyDescent="0.25">
      <c r="A32" s="4">
        <v>25</v>
      </c>
      <c r="B32" s="4" t="s">
        <v>41</v>
      </c>
      <c r="C32" s="4">
        <v>1400</v>
      </c>
      <c r="D32" s="4">
        <v>2300</v>
      </c>
      <c r="E32" s="4"/>
      <c r="F32" s="4"/>
      <c r="G32" s="4"/>
      <c r="H32" s="4"/>
      <c r="I32" s="4"/>
      <c r="J32" s="4"/>
      <c r="K32" s="4"/>
      <c r="L32" s="4">
        <v>4</v>
      </c>
      <c r="M32" s="4">
        <v>2</v>
      </c>
      <c r="N32" s="4">
        <v>4</v>
      </c>
      <c r="O32" s="4"/>
      <c r="P32" s="4">
        <f t="shared" si="1"/>
        <v>142</v>
      </c>
      <c r="Q32" s="5"/>
      <c r="R32" s="5"/>
    </row>
    <row r="33" spans="1:18" x14ac:dyDescent="0.25">
      <c r="A33" s="4">
        <v>26</v>
      </c>
      <c r="B33" s="4" t="s">
        <v>42</v>
      </c>
      <c r="C33" s="4">
        <v>1600</v>
      </c>
      <c r="D33" s="4">
        <v>2300</v>
      </c>
      <c r="E33" s="4"/>
      <c r="F33" s="4"/>
      <c r="G33" s="4"/>
      <c r="H33" s="4"/>
      <c r="I33" s="4"/>
      <c r="J33" s="4"/>
      <c r="K33" s="4"/>
      <c r="L33" s="4">
        <v>1</v>
      </c>
      <c r="M33" s="4"/>
      <c r="N33" s="4">
        <v>1</v>
      </c>
      <c r="O33" s="4"/>
      <c r="P33" s="4">
        <f t="shared" si="1"/>
        <v>35</v>
      </c>
      <c r="Q33" s="5"/>
      <c r="R33" s="5"/>
    </row>
    <row r="34" spans="1:18" x14ac:dyDescent="0.25">
      <c r="A34" s="6" t="s">
        <v>53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 x14ac:dyDescent="0.25">
      <c r="A35" s="4">
        <v>27</v>
      </c>
      <c r="B35" s="4" t="s">
        <v>43</v>
      </c>
      <c r="C35" s="4">
        <v>1750</v>
      </c>
      <c r="D35" s="4">
        <v>2400</v>
      </c>
      <c r="E35" s="4"/>
      <c r="F35" s="4"/>
      <c r="G35" s="4"/>
      <c r="H35" s="4"/>
      <c r="I35" s="4"/>
      <c r="J35" s="4"/>
      <c r="K35" s="4"/>
      <c r="L35" s="4">
        <v>3</v>
      </c>
      <c r="M35" s="4"/>
      <c r="N35" s="4"/>
      <c r="O35" s="4"/>
      <c r="P35" s="4">
        <f>SUMPRODUCT(E35:O35,$E$4:$O$4)</f>
        <v>90</v>
      </c>
      <c r="Q35" s="5"/>
      <c r="R35" s="5"/>
    </row>
    <row r="36" spans="1:18" x14ac:dyDescent="0.25">
      <c r="A36" s="4">
        <v>28</v>
      </c>
      <c r="B36" s="4" t="s">
        <v>44</v>
      </c>
      <c r="C36" s="4">
        <v>1800</v>
      </c>
      <c r="D36" s="4">
        <v>2400</v>
      </c>
      <c r="E36" s="4"/>
      <c r="F36" s="4"/>
      <c r="G36" s="4"/>
      <c r="H36" s="4"/>
      <c r="I36" s="4"/>
      <c r="J36" s="4"/>
      <c r="K36" s="4"/>
      <c r="L36" s="4">
        <v>1</v>
      </c>
      <c r="M36" s="4"/>
      <c r="N36" s="4"/>
      <c r="O36" s="4"/>
      <c r="P36" s="4">
        <f>SUMPRODUCT(E36:O36,$E$4:$O$4)</f>
        <v>30</v>
      </c>
      <c r="Q36" s="5"/>
      <c r="R36" s="5"/>
    </row>
    <row r="37" spans="1:18" x14ac:dyDescent="0.25">
      <c r="A37" s="4">
        <v>29</v>
      </c>
      <c r="B37" s="4" t="s">
        <v>45</v>
      </c>
      <c r="C37" s="4">
        <v>1750</v>
      </c>
      <c r="D37" s="4">
        <v>2300</v>
      </c>
      <c r="E37" s="4"/>
      <c r="F37" s="4"/>
      <c r="G37" s="4"/>
      <c r="H37" s="4"/>
      <c r="I37" s="4"/>
      <c r="J37" s="4"/>
      <c r="K37" s="4"/>
      <c r="L37" s="4"/>
      <c r="M37" s="4">
        <v>2</v>
      </c>
      <c r="N37" s="4">
        <v>3</v>
      </c>
      <c r="O37" s="4"/>
      <c r="P37" s="4">
        <f>SUMPRODUCT(E37:O37,$E$4:$O$4)</f>
        <v>17</v>
      </c>
      <c r="Q37" s="5"/>
      <c r="R37" s="5"/>
    </row>
    <row r="38" spans="1:18" x14ac:dyDescent="0.25">
      <c r="A38" s="4">
        <v>30</v>
      </c>
      <c r="B38" s="4" t="s">
        <v>46</v>
      </c>
      <c r="C38" s="4">
        <v>1800</v>
      </c>
      <c r="D38" s="4">
        <v>2300</v>
      </c>
      <c r="E38" s="4"/>
      <c r="F38" s="4"/>
      <c r="G38" s="4"/>
      <c r="H38" s="4"/>
      <c r="I38" s="4"/>
      <c r="J38" s="4"/>
      <c r="K38" s="4"/>
      <c r="L38" s="4"/>
      <c r="M38" s="4"/>
      <c r="N38" s="4">
        <v>1</v>
      </c>
      <c r="O38" s="4"/>
      <c r="P38" s="4">
        <f>SUMPRODUCT(E38:O38,$E$4:$O$4)</f>
        <v>5</v>
      </c>
      <c r="Q38" s="5"/>
      <c r="R38" s="5"/>
    </row>
    <row r="39" spans="1:18" x14ac:dyDescent="0.25">
      <c r="A39" s="6" t="s">
        <v>54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 x14ac:dyDescent="0.25">
      <c r="A40" s="4">
        <v>31</v>
      </c>
      <c r="B40" s="4" t="s">
        <v>47</v>
      </c>
      <c r="C40" s="4">
        <v>1770</v>
      </c>
      <c r="D40" s="4">
        <v>2395</v>
      </c>
      <c r="E40" s="4"/>
      <c r="F40" s="4"/>
      <c r="G40" s="4"/>
      <c r="H40" s="4"/>
      <c r="I40" s="4"/>
      <c r="J40" s="4"/>
      <c r="K40" s="4"/>
      <c r="L40" s="4">
        <v>4</v>
      </c>
      <c r="M40" s="4">
        <v>4</v>
      </c>
      <c r="N40" s="4">
        <v>4</v>
      </c>
      <c r="O40" s="4"/>
      <c r="P40" s="4">
        <f>SUMPRODUCT(E40:O40,$E$4:$O$4)</f>
        <v>144</v>
      </c>
      <c r="Q40" s="5"/>
      <c r="R40" s="5"/>
    </row>
  </sheetData>
  <mergeCells count="15">
    <mergeCell ref="A1:R1"/>
    <mergeCell ref="C2:D2"/>
    <mergeCell ref="A39:R39"/>
    <mergeCell ref="Q2:Q3"/>
    <mergeCell ref="E2:O2"/>
    <mergeCell ref="R2:R3"/>
    <mergeCell ref="A4:D4"/>
    <mergeCell ref="B2:B3"/>
    <mergeCell ref="A34:R34"/>
    <mergeCell ref="A24:R24"/>
    <mergeCell ref="P2:P3"/>
    <mergeCell ref="A14:R14"/>
    <mergeCell ref="A2:A3"/>
    <mergeCell ref="A5:R5"/>
    <mergeCell ref="A20:R20"/>
  </mergeCells>
  <pageMargins left="0.75" right="0.75" top="1" bottom="1" header="0.5" footer="0.5"/>
  <pageSetup paperSize="8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Thong ke cua</vt:lpstr>
      <vt:lpstr>'Thong ke cua'!Print_Titles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Archivina 4</cp:lastModifiedBy>
  <dcterms:created xsi:type="dcterms:W3CDTF">2026-10-26T03:14:28Z</dcterms:created>
  <dcterms:modified xsi:type="dcterms:W3CDTF">2026-10-26T04:34:26Z</dcterms:modified>
</cp:coreProperties>
</file>